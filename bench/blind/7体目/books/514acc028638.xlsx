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9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山田</author>
  </authors>
  <commentList>
    <comment ref="A4" authorId="0" shapeId="0">
      <text>
        <t>請求番号は会計ソフトと同じ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請求一覧（2026年9月分）</t>
        </is>
      </c>
    </row>
    <row r="2">
      <c r="A2" t="inlineStr">
        <is>
          <t>作成：2026/9/30　担当：山田</t>
        </is>
      </c>
    </row>
    <row r="4">
      <c r="A4" s="2" t="inlineStr">
        <is>
          <t>請求番号</t>
        </is>
      </c>
      <c r="B4" s="2" t="inlineStr">
        <is>
          <t>請求日</t>
        </is>
      </c>
      <c r="C4" s="2" t="inlineStr">
        <is>
          <t>取引先コード</t>
        </is>
      </c>
      <c r="D4" s="2" t="inlineStr">
        <is>
          <t>取引先名</t>
        </is>
      </c>
      <c r="E4" s="2" t="inlineStr">
        <is>
          <t>税抜金額</t>
        </is>
      </c>
      <c r="F4" s="2" t="inlineStr">
        <is>
          <t>消費税</t>
        </is>
      </c>
      <c r="G4" s="2" t="inlineStr">
        <is>
          <t>税込金額</t>
        </is>
      </c>
      <c r="H4" s="2" t="inlineStr">
        <is>
          <t>入金予定日</t>
        </is>
      </c>
      <c r="I4" s="2" t="inlineStr">
        <is>
          <t>入金状況</t>
        </is>
      </c>
    </row>
    <row r="5">
      <c r="A5" t="inlineStr">
        <is>
          <t>INV-0901</t>
        </is>
      </c>
      <c r="B5" s="6" t="n">
        <v>46266</v>
      </c>
      <c r="C5" s="4" t="inlineStr">
        <is>
          <t>0012</t>
        </is>
      </c>
      <c r="D5" t="inlineStr">
        <is>
          <t>株式会社丸山工業</t>
        </is>
      </c>
      <c r="E5" s="5" t="n">
        <v>150000</v>
      </c>
      <c r="F5" s="5">
        <f>ROUNDDOWN(E5*0.1,0)</f>
        <v/>
      </c>
      <c r="G5" s="5">
        <f>E5+F5</f>
        <v/>
      </c>
      <c r="H5" t="inlineStr">
        <is>
          <t>2026/10/31</t>
        </is>
      </c>
      <c r="I5" t="inlineStr">
        <is>
          <t>入金済</t>
        </is>
      </c>
    </row>
    <row r="6">
      <c r="A6" t="inlineStr">
        <is>
          <t>INV-0902</t>
        </is>
      </c>
      <c r="B6" s="6" t="n">
        <v>46268</v>
      </c>
      <c r="C6" s="4" t="inlineStr">
        <is>
          <t>0045</t>
        </is>
      </c>
      <c r="D6" t="inlineStr">
        <is>
          <t>有限会社さくら商店</t>
        </is>
      </c>
      <c r="E6" s="5" t="n">
        <v>48000</v>
      </c>
      <c r="F6" s="5">
        <f>ROUNDDOWN(E6*0.1,0)</f>
        <v/>
      </c>
      <c r="G6" s="5">
        <f>E6+F6</f>
        <v/>
      </c>
      <c r="H6" t="inlineStr">
        <is>
          <t>2026/10/31</t>
        </is>
      </c>
      <c r="I6" t="inlineStr">
        <is>
          <t>未入金</t>
        </is>
      </c>
    </row>
    <row r="7">
      <c r="A7" t="inlineStr">
        <is>
          <t>INV-0903</t>
        </is>
      </c>
      <c r="B7" s="6" t="n">
        <v>46270</v>
      </c>
      <c r="C7" s="4" t="inlineStr">
        <is>
          <t>0103</t>
        </is>
      </c>
      <c r="D7" t="inlineStr">
        <is>
          <t>田中歯科クリニック</t>
        </is>
      </c>
      <c r="E7" s="5" t="n">
        <v>220000</v>
      </c>
      <c r="F7" s="5">
        <f>ROUNDDOWN(E7*0.1,0)</f>
        <v/>
      </c>
      <c r="G7" s="5">
        <f>E7+F7</f>
        <v/>
      </c>
      <c r="H7" t="inlineStr">
        <is>
          <t>2026/10/31</t>
        </is>
      </c>
      <c r="I7" t="inlineStr">
        <is>
          <t>入金済</t>
        </is>
      </c>
    </row>
    <row r="8">
      <c r="A8" t="inlineStr">
        <is>
          <t>INV-0904</t>
        </is>
      </c>
      <c r="B8" s="6" t="n">
        <v>46275</v>
      </c>
      <c r="C8" s="4" t="inlineStr">
        <is>
          <t>0012</t>
        </is>
      </c>
      <c r="D8" t="inlineStr">
        <is>
          <t>株式会社丸山工業</t>
        </is>
      </c>
      <c r="E8" s="5" t="n">
        <v>33000</v>
      </c>
      <c r="F8" s="5">
        <f>ROUNDDOWN(E8*0.1,0)</f>
        <v/>
      </c>
      <c r="G8" s="5">
        <f>E8+F8</f>
        <v/>
      </c>
      <c r="H8" t="inlineStr">
        <is>
          <t>2026/10/31</t>
        </is>
      </c>
      <c r="I8" t="inlineStr">
        <is>
          <t>未入金</t>
        </is>
      </c>
    </row>
    <row r="9">
      <c r="A9" t="inlineStr">
        <is>
          <t>INV-0905</t>
        </is>
      </c>
      <c r="B9" s="6" t="n">
        <v>46277</v>
      </c>
      <c r="C9" s="4" t="inlineStr">
        <is>
          <t>0207</t>
        </is>
      </c>
      <c r="D9" t="inlineStr">
        <is>
          <t>合同会社ブルーリーフ</t>
        </is>
      </c>
      <c r="E9" s="5" t="n">
        <v>99000</v>
      </c>
      <c r="F9" s="5">
        <f>ROUNDDOWN(E9*0.1,0)</f>
        <v/>
      </c>
      <c r="G9" s="5">
        <f>E9+F9</f>
        <v/>
      </c>
      <c r="H9" t="inlineStr">
        <is>
          <t>2026/11/30</t>
        </is>
      </c>
      <c r="I9" t="inlineStr">
        <is>
          <t>未入金</t>
        </is>
      </c>
    </row>
    <row r="10">
      <c r="A10" t="inlineStr">
        <is>
          <t>INV-0906</t>
        </is>
      </c>
      <c r="B10" s="6" t="n">
        <v>46280</v>
      </c>
      <c r="C10" s="4" t="inlineStr">
        <is>
          <t>0045</t>
        </is>
      </c>
      <c r="D10" t="inlineStr">
        <is>
          <t>有限会社さくら商店</t>
        </is>
      </c>
      <c r="E10" s="5" t="n">
        <v>12500</v>
      </c>
      <c r="F10" s="5">
        <f>ROUNDDOWN(E10*0.1,0)</f>
        <v/>
      </c>
      <c r="G10" s="5">
        <f>E10+F10</f>
        <v/>
      </c>
      <c r="H10" t="inlineStr">
        <is>
          <t>2026/10/31</t>
        </is>
      </c>
      <c r="I10" t="inlineStr">
        <is>
          <t>一部入金</t>
        </is>
      </c>
    </row>
    <row r="11">
      <c r="A11" t="inlineStr">
        <is>
          <t>INV-0907</t>
        </is>
      </c>
      <c r="B11" s="6" t="n">
        <v>46285</v>
      </c>
      <c r="C11" s="4" t="inlineStr">
        <is>
          <t>0310</t>
        </is>
      </c>
      <c r="D11" t="inlineStr">
        <is>
          <t>鈴木会計事務所</t>
        </is>
      </c>
      <c r="E11" s="5" t="n">
        <v>55000</v>
      </c>
      <c r="F11" s="5">
        <f>ROUNDDOWN(E11*0.1,0)</f>
        <v/>
      </c>
      <c r="G11" s="5">
        <f>E11+F11</f>
        <v/>
      </c>
      <c r="H11" t="inlineStr">
        <is>
          <t>2026/10/31</t>
        </is>
      </c>
      <c r="I11" t="inlineStr">
        <is>
          <t>入金済</t>
        </is>
      </c>
    </row>
    <row r="12">
      <c r="A12" t="inlineStr">
        <is>
          <t>INV-0908</t>
        </is>
      </c>
      <c r="B12" s="6" t="n">
        <v>46290</v>
      </c>
      <c r="C12" s="4" t="inlineStr">
        <is>
          <t>0103</t>
        </is>
      </c>
      <c r="D12" t="inlineStr">
        <is>
          <t>田中歯科クリニック</t>
        </is>
      </c>
      <c r="E12" s="5" t="n">
        <v>88000</v>
      </c>
      <c r="F12" s="5">
        <f>ROUNDDOWN(E12*0.1,0)</f>
        <v/>
      </c>
      <c r="G12" s="5">
        <f>E12+F12</f>
        <v/>
      </c>
      <c r="H12" t="inlineStr">
        <is>
          <t>2026/11/30</t>
        </is>
      </c>
      <c r="I12" t="inlineStr">
        <is>
          <t>未入金</t>
        </is>
      </c>
    </row>
    <row r="13">
      <c r="D13" t="inlineStr">
        <is>
          <t>合計</t>
        </is>
      </c>
      <c r="E13">
        <f>SUM(E5:E12)</f>
        <v/>
      </c>
      <c r="F13">
        <f>SUM(F5:F12)</f>
        <v/>
      </c>
      <c r="G13">
        <f>SUM(G5:G12)</f>
        <v/>
      </c>
    </row>
  </sheetData>
  <mergeCells count="1">
    <mergeCell ref="A1:I1"/>
  </mergeCells>
  <conditionalFormatting sqref="I5:I12">
    <cfRule type="cellIs" priority="1" operator="equal" dxfId="0">
      <formula>"未入金"</formula>
    </cfRule>
  </conditionalFormatting>
  <dataValidations count="1">
    <dataValidation sqref="I5:I12" showDropDown="0" showInputMessage="0" showErrorMessage="0" allowBlank="0" type="list">
      <formula1>"入金済,未入金,一部入金"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2026-09-30T12:26:13Z</dcterms:created>
  <dcterms:modified xmlns:dcterms="http://purl.org/dc/terms/" xmlns:xsi="http://www.w3.org/2001/XMLSchema-instance" xsi:type="dcterms:W3CDTF">2026-09-30T12:34:26Z</dcterms:modified>
</cp:coreProperties>
</file>