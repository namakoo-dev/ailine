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合計残高試算表（貸借対照表）</t>
        </is>
      </c>
    </row>
    <row r="2">
      <c r="A2" t="inlineStr">
        <is>
          <t>株式会社丸山工業　自 2026/09/01 至 2026/09/30　（単位：円）</t>
        </is>
      </c>
    </row>
    <row r="4">
      <c r="A4" t="inlineStr">
        <is>
          <t>勘定科目</t>
        </is>
      </c>
      <c r="B4" t="inlineStr">
        <is>
          <t>前月残高</t>
        </is>
      </c>
      <c r="C4" t="inlineStr">
        <is>
          <t>借方</t>
        </is>
      </c>
      <c r="D4" t="inlineStr">
        <is>
          <t>貸方</t>
        </is>
      </c>
      <c r="E4" t="inlineStr">
        <is>
          <t>当月残高</t>
        </is>
      </c>
    </row>
    <row r="5">
      <c r="A5" t="inlineStr">
        <is>
          <t>【流動資産】</t>
        </is>
      </c>
    </row>
    <row r="6">
      <c r="A6" t="inlineStr">
        <is>
          <t>現金</t>
        </is>
      </c>
      <c r="B6" s="2" t="n">
        <v>120000</v>
      </c>
      <c r="C6" s="2" t="n">
        <v>50000</v>
      </c>
      <c r="D6" s="2" t="n">
        <v>43000</v>
      </c>
      <c r="E6" s="2" t="n">
        <v>127000</v>
      </c>
    </row>
    <row r="7">
      <c r="A7" t="inlineStr">
        <is>
          <t>普通預金</t>
        </is>
      </c>
      <c r="B7" s="2" t="n">
        <v>3450000</v>
      </c>
      <c r="C7" s="2" t="n">
        <v>980000</v>
      </c>
      <c r="D7" s="2" t="n">
        <v>1210000</v>
      </c>
      <c r="E7" s="2" t="n">
        <v>3220000</v>
      </c>
    </row>
    <row r="8">
      <c r="A8" t="inlineStr">
        <is>
          <t>売掛金</t>
        </is>
      </c>
      <c r="B8" s="2" t="n">
        <v>1650000</v>
      </c>
      <c r="C8" s="2" t="n">
        <v>776050</v>
      </c>
      <c r="D8" s="2" t="n">
        <v>467500</v>
      </c>
      <c r="E8" s="2" t="n">
        <v>1958550</v>
      </c>
    </row>
    <row r="9">
      <c r="A9" t="inlineStr">
        <is>
          <t>流動資産 計</t>
        </is>
      </c>
      <c r="B9" s="2">
        <f>SUM(B6:B8)</f>
        <v/>
      </c>
      <c r="C9" s="2">
        <f>SUM(C6:C8)</f>
        <v/>
      </c>
      <c r="D9" s="2">
        <f>SUM(D6:D8)</f>
        <v/>
      </c>
      <c r="E9" s="2">
        <f>SUM(E6:E8)</f>
        <v/>
      </c>
    </row>
    <row r="10">
      <c r="A10" t="inlineStr">
        <is>
          <t>【固定資産】</t>
        </is>
      </c>
      <c r="B10" s="2" t="n"/>
      <c r="C10" s="2" t="n"/>
      <c r="D10" s="2" t="n"/>
      <c r="E10" s="2" t="n"/>
    </row>
    <row r="11">
      <c r="A11" t="inlineStr">
        <is>
          <t>工具器具備品</t>
        </is>
      </c>
      <c r="B11" s="2" t="n">
        <v>480000</v>
      </c>
      <c r="C11" s="2" t="n">
        <v>0</v>
      </c>
      <c r="D11" s="2" t="n">
        <v>0</v>
      </c>
      <c r="E11" s="2" t="n">
        <v>480000</v>
      </c>
    </row>
    <row r="12">
      <c r="A12" t="inlineStr">
        <is>
          <t>固定資産 計</t>
        </is>
      </c>
      <c r="B12" s="2">
        <f>B11</f>
        <v/>
      </c>
      <c r="C12" s="2">
        <f>C11</f>
        <v/>
      </c>
      <c r="D12" s="2">
        <f>D11</f>
        <v/>
      </c>
      <c r="E12" s="2">
        <f>E11</f>
        <v/>
      </c>
    </row>
    <row r="13">
      <c r="A13" t="inlineStr">
        <is>
          <t>資産合計</t>
        </is>
      </c>
      <c r="B13" s="2">
        <f>B9+B12</f>
        <v/>
      </c>
      <c r="C13" s="2">
        <f>C9+C12</f>
        <v/>
      </c>
      <c r="D13" s="2">
        <f>D9+D12</f>
        <v/>
      </c>
      <c r="E13" s="2">
        <f>E9+E12</f>
        <v/>
      </c>
    </row>
  </sheetData>
  <mergeCells count="4">
    <mergeCell ref="A2:E2"/>
    <mergeCell ref="A1:E1"/>
    <mergeCell ref="A5:E5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2026-09-30T12:33:12Z</dcterms:created>
  <dcterms:modified xmlns:dcterms="http://purl.org/dc/terms/" xmlns:xsi="http://www.w3.org/2001/XMLSchema-instance" xsi:type="dcterms:W3CDTF">2026-09-30T12:33:12Z</dcterms:modified>
</cp:coreProperties>
</file>