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<sst xmlns="http://schemas.openxmlformats.org/spreadsheetml/2006/main" count="16" uniqueCount="16">
  <si>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合計残高試算表（貸借対照表）</t>
  </si>
  <si>
    <r>
      <rPr>
        <sz val="11"/>
        <color theme="1"/>
        <rFont val="Noto Sans JP"/>
        <family val="2"/>
      </rPr>
      <t xml:space="preserve">株式会社丸山工業　自 </t>
    </r>
    <r>
      <rPr>
        <sz val="11"/>
        <color theme="1"/>
        <rFont val="Calibri"/>
        <family val="2"/>
        <charset val="1"/>
      </rPr>
      <t xml:space="preserve">2026/09/01 </t>
    </r>
    <r>
      <rPr>
        <sz val="11"/>
        <color theme="1"/>
        <rFont val="Noto Sans JP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2026/09/30</t>
    </r>
    <r>
      <rPr>
        <sz val="11"/>
        <color theme="1"/>
        <rFont val="Noto Sans JP"/>
        <family val="2"/>
      </rPr>
      <t xml:space="preserve">　（単位：円）</t>
    </r>
  </si>
  <si>
    <t xml:space="preserve">勘定科目</t>
  </si>
  <si>
    <t xml:space="preserve">前月残高</t>
  </si>
  <si>
    <t xml:space="preserve">借方</t>
  </si>
  <si>
    <t xml:space="preserve">貸方</t>
  </si>
  <si>
    <t xml:space="preserve">当月残高</t>
  </si>
  <si>
    <t xml:space="preserve">【流動資産】</t>
  </si>
  <si>
    <t xml:space="preserve">現金</t>
  </si>
  <si>
    <t xml:space="preserve">普通預金</t>
  </si>
  <si>
    <t xml:space="preserve">売掛金</t>
  </si>
  <si>
    <t xml:space="preserve">流動資産 計</t>
  </si>
  <si>
    <t xml:space="preserve">【固定資産】</t>
  </si>
  <si>
    <t xml:space="preserve">工具器具備品</t>
  </si>
  <si>
    <t xml:space="preserve">固定資産 計</t>
  </si>
  <si>
    <t xml:space="preserve">資産合計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</si>
</sst>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</row>
    <row r="5" customFormat="false" ht="15" hidden="false" customHeight="false" outlineLevel="0" collapsed="false">
      <c r="A5" s="2" t="s">
        <v>7</v>
      </c>
      <c r="B5" s="2"/>
      <c r="C5" s="2"/>
      <c r="D5" s="2"/>
      <c r="E5" s="2"/>
    </row>
    <row r="6" customFormat="false" ht="15" hidden="false" customHeight="false" outlineLevel="0" collapsed="false">
      <c r="A6" s="0" t="s">
        <v>8</v>
      </c>
      <c r="B6" s="3" t="n">
        <v>120000</v>
      </c>
      <c r="C6" s="3" t="n">
        <v>50000</v>
      </c>
      <c r="D6" s="3" t="n">
        <v>43000</v>
      </c>
      <c r="E6" s="3" t="n">
        <v>127000</v>
      </c>
    </row>
    <row r="7" customFormat="false" ht="15" hidden="false" customHeight="false" outlineLevel="0" collapsed="false">
      <c r="A7" s="0" t="s">
        <v>9</v>
      </c>
      <c r="B7" s="3" t="n">
        <v>3450000</v>
      </c>
      <c r="C7" s="3" t="n">
        <v>980000</v>
      </c>
      <c r="D7" s="3" t="n">
        <v>1210000</v>
      </c>
      <c r="E7" s="3" t="n">
        <v>3220000</v>
      </c>
    </row>
    <row r="8" customFormat="false" ht="15" hidden="false" customHeight="false" outlineLevel="0" collapsed="false">
      <c r="A8" s="0" t="s">
        <v>10</v>
      </c>
      <c r="B8" s="3" t="n">
        <v>1650000</v>
      </c>
      <c r="C8" s="3" t="n">
        <v>776050</v>
      </c>
      <c r="D8" s="3" t="n">
        <v>467500</v>
      </c>
      <c r="E8" s="3" t="n">
        <v>1958550</v>
      </c>
    </row>
    <row r="9" customFormat="false" ht="15" hidden="false" customHeight="false" outlineLevel="0" collapsed="false">
      <c r="A9" s="0" t="s">
        <v>11</v>
      </c>
      <c r="B9" s="3" t="n">
        <f aca="false">SUM(B6:B8)</f>
        <v>5220000</v>
      </c>
      <c r="C9" s="3" t="n">
        <f aca="false">SUM(C6:C8)</f>
        <v>1806050</v>
      </c>
      <c r="D9" s="3" t="n">
        <f aca="false">SUM(D6:D8)</f>
        <v>1720500</v>
      </c>
      <c r="E9" s="3" t="n">
        <f aca="false">SUM(E6:E8)</f>
        <v>5305550</v>
      </c>
    </row>
    <row r="10" customFormat="false" ht="15" hidden="false" customHeight="false" outlineLevel="0" collapsed="false">
      <c r="A10" s="2" t="s">
        <v>12</v>
      </c>
      <c r="B10" s="2"/>
      <c r="C10" s="2"/>
      <c r="D10" s="2"/>
      <c r="E10" s="2"/>
    </row>
    <row r="11" customFormat="false" ht="15" hidden="false" customHeight="false" outlineLevel="0" collapsed="false">
      <c r="A11" s="0" t="s">
        <v>13</v>
      </c>
      <c r="B11" s="3" t="n">
        <v>480000</v>
      </c>
      <c r="C11" s="3" t="n">
        <v>0</v>
      </c>
      <c r="D11" s="3" t="n">
        <v>0</v>
      </c>
      <c r="E11" s="3" t="n">
        <v>480000</v>
      </c>
    </row>
    <row r="12" customFormat="false" ht="15" hidden="false" customHeight="false" outlineLevel="0" collapsed="false">
      <c r="A12" s="0" t="s">
        <v>14</v>
      </c>
      <c r="B12" s="3" t="n">
        <f aca="false">B11</f>
        <v>480000</v>
      </c>
      <c r="C12" s="3" t="n">
        <f aca="false">C11</f>
        <v>0</v>
      </c>
      <c r="D12" s="3" t="n">
        <f aca="false">D11</f>
        <v>0</v>
      </c>
      <c r="E12" s="3" t="n">
        <f aca="false">E11</f>
        <v>480000</v>
      </c>
    </row>
    <row r="13" customFormat="false" ht="15" hidden="false" customHeight="false" outlineLevel="0" collapsed="false">
      <c r="A13" s="0" t="s">
        <v>15</v>
      </c>
      <c r="B13" s="3" t="n">
        <f aca="false">B9+B12</f>
        <v>5700000</v>
      </c>
      <c r="C13" s="3" t="n">
        <f aca="false">C9+C12</f>
        <v>1806050</v>
      </c>
      <c r="D13" s="3" t="n">
        <f aca="false">D9+D12</f>
        <v>1720500</v>
      </c>
      <c r="E13" s="3" t="n">
        <f aca="false">E9+E12</f>
        <v>5785550</v>
      </c>
    </row>
  </sheetData>
  <mergeCells count="4">
    <mergeCell ref="A1:E1"/>
    <mergeCell ref="A2:E2"/>
    <mergeCell ref="A5:E5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2026-09-30T12:33:12Z</dcterms:created>
  <dc:creator>openpyxl</dc:creator>
  <dc:description/>
  <dc:language>ja-JP</dc:language>
  <cp:lastModifiedBy/>
  <dcterms:modified xsi:type="dcterms:W3CDTF">2026-09-30T12:33:12Z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