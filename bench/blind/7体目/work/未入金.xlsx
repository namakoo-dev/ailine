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26年9月" sheetId="1" state="visible" r:id="rId3"/>
    <sheet name="入金状況が未入金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<sst xmlns="http://schemas.openxmlformats.org/spreadsheetml/2006/main" count="81" uniqueCount="35">
  <si>
    <r>
      <rPr>
        <b val="true"/>
        <sz val="14"/>
        <rFont val="Noto Sans JP"/>
        <family val="2"/>
        <charset val="1"/>
      </rPr>
      <t xml:space="preserve">請求一覧（</t>
    </r>
    <r>
      <rPr>
        <b val="true"/>
        <sz val="14"/>
        <rFont val="Cambria"/>
        <family val="0"/>
        <charset val="1"/>
      </rPr>
      <t xml:space="preserve">2026</t>
    </r>
    <r>
      <rPr>
        <b val="true"/>
        <sz val="14"/>
        <rFont val="Noto Sans JP"/>
        <family val="2"/>
        <charset val="1"/>
      </rPr>
      <t xml:space="preserve">年</t>
    </r>
    <r>
      <rPr>
        <b val="true"/>
        <sz val="14"/>
        <rFont val="Cambria"/>
        <family val="0"/>
        <charset val="1"/>
      </rPr>
      <t xml:space="preserve">9</t>
    </r>
    <r>
      <rPr>
        <b val="true"/>
        <sz val="14"/>
        <rFont val="Noto Sans JP"/>
        <family val="2"/>
        <charset val="1"/>
      </rPr>
      <t xml:space="preserve">月分）</t>
    </r>
  </si>
  <si>
    <r>
      <rPr>
        <sz val="11"/>
        <color theme="1"/>
        <rFont val="Noto Sans JP"/>
        <family val="2"/>
        <charset val="1"/>
      </rPr>
      <t xml:space="preserve">作成：</t>
    </r>
    <r>
      <rPr>
        <sz val="11"/>
        <color theme="1"/>
        <rFont val="Calibri"/>
        <family val="2"/>
        <charset val="1"/>
      </rPr>
      <t xml:space="preserve">2026/9/30</t>
    </r>
    <r>
      <rPr>
        <sz val="11"/>
        <color theme="1"/>
        <rFont val="Noto Sans JP"/>
        <family val="2"/>
        <charset val="1"/>
      </rPr>
      <t xml:space="preserve">　担当：山田</t>
    </r>
  </si>
  <si>
    <t xml:space="preserve">請求番号</t>
  </si>
  <si>
    <t xml:space="preserve">請求日</t>
  </si>
  <si>
    <t xml:space="preserve">取引先コード</t>
  </si>
  <si>
    <t xml:space="preserve">取引先名</t>
  </si>
  <si>
    <t xml:space="preserve">税抜金額</t>
  </si>
  <si>
    <t xml:space="preserve">消費税</t>
  </si>
  <si>
    <t xml:space="preserve">税込金額</t>
  </si>
  <si>
    <t xml:space="preserve">入金予定日</t>
  </si>
  <si>
    <t xml:space="preserve">入金状況</t>
  </si>
  <si>
    <t xml:space="preserve">INV-0901</t>
  </si>
  <si>
    <t xml:space="preserve">0012</t>
  </si>
  <si>
    <t xml:space="preserve">株式会社丸山工業</t>
  </si>
  <si>
    <t xml:space="preserve">2026/10/31</t>
  </si>
  <si>
    <t xml:space="preserve">入金済</t>
  </si>
  <si>
    <t xml:space="preserve">INV-0902</t>
  </si>
  <si>
    <t xml:space="preserve">0045</t>
  </si>
  <si>
    <t xml:space="preserve">有限会社さくら商店</t>
  </si>
  <si>
    <t xml:space="preserve">未入金</t>
  </si>
  <si>
    <t xml:space="preserve">INV-0903</t>
  </si>
  <si>
    <t xml:space="preserve">0103</t>
  </si>
  <si>
    <t xml:space="preserve">田中歯科クリニック</t>
  </si>
  <si>
    <t xml:space="preserve">INV-0904</t>
  </si>
  <si>
    <t xml:space="preserve">INV-0905</t>
  </si>
  <si>
    <t xml:space="preserve">0207</t>
  </si>
  <si>
    <t xml:space="preserve">合同会社ブルーリーフ</t>
  </si>
  <si>
    <t xml:space="preserve">2026/11/30</t>
  </si>
  <si>
    <t xml:space="preserve">INV-0906</t>
  </si>
  <si>
    <t xml:space="preserve">一部入金</t>
  </si>
  <si>
    <t xml:space="preserve">INV-0907</t>
  </si>
  <si>
    <t xml:space="preserve">0310</t>
  </si>
  <si>
    <t xml:space="preserve">鈴木会計事務所</t>
  </si>
  <si>
    <t xml:space="preserve">INV-0908</t>
  </si>
  <si>
    <t xml:space="preserve">合計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</si>
</sst>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@"/>
    <numFmt numFmtId="167" formatCode="#,##0"/>
  </numFmts>
  <fonts count="8">
    <font>
      <sz val="11"/>
      <color theme="1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JP"/>
      <family val="2"/>
      <charset val="1"/>
    </font>
    <font>
      <b val="true"/>
      <sz val="14"/>
      <name val="Cambria"/>
      <family val="0"/>
      <charset val="1"/>
    </font>
    <font>
      <sz val="11"/>
      <color theme="1"/>
      <name val="Calibri"/>
      <family val="2"/>
      <charset val="1"/>
    </font>
    <font>
      <b val="true"/>
      <sz val="11"/>
      <name val="Noto Sans JP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8.6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n">
        <v>46266</v>
      </c>
      <c r="C5" s="6" t="s">
        <v>12</v>
      </c>
      <c r="D5" s="2" t="s">
        <v>13</v>
      </c>
      <c r="E5" s="7" t="n">
        <v>150000</v>
      </c>
      <c r="F5" s="7" t="n">
        <f aca="false">ROUNDDOWN(E5*0.1,0)</f>
        <v>15000</v>
      </c>
      <c r="G5" s="7" t="n">
        <f aca="false">E5+F5</f>
        <v>165000</v>
      </c>
      <c r="H5" s="4" t="s">
        <v>14</v>
      </c>
      <c r="I5" s="2" t="s">
        <v>15</v>
      </c>
    </row>
    <row r="6" customFormat="false" ht="15" hidden="false" customHeight="false" outlineLevel="0" collapsed="false">
      <c r="A6" s="4" t="s">
        <v>16</v>
      </c>
      <c r="B6" s="5" t="n">
        <v>46268</v>
      </c>
      <c r="C6" s="6" t="s">
        <v>17</v>
      </c>
      <c r="D6" s="2" t="s">
        <v>18</v>
      </c>
      <c r="E6" s="7" t="n">
        <v>48000</v>
      </c>
      <c r="F6" s="7" t="n">
        <f aca="false">ROUNDDOWN(E6*0.1,0)</f>
        <v>4800</v>
      </c>
      <c r="G6" s="7" t="n">
        <f aca="false">E6+F6</f>
        <v>52800</v>
      </c>
      <c r="H6" s="4" t="s">
        <v>14</v>
      </c>
      <c r="I6" s="2" t="s">
        <v>19</v>
      </c>
    </row>
    <row r="7" customFormat="false" ht="15" hidden="false" customHeight="false" outlineLevel="0" collapsed="false">
      <c r="A7" s="4" t="s">
        <v>20</v>
      </c>
      <c r="B7" s="5" t="n">
        <v>46270</v>
      </c>
      <c r="C7" s="6" t="s">
        <v>21</v>
      </c>
      <c r="D7" s="2" t="s">
        <v>22</v>
      </c>
      <c r="E7" s="7" t="n">
        <v>220000</v>
      </c>
      <c r="F7" s="7" t="n">
        <f aca="false">ROUNDDOWN(E7*0.1,0)</f>
        <v>22000</v>
      </c>
      <c r="G7" s="7" t="n">
        <f aca="false">E7+F7</f>
        <v>242000</v>
      </c>
      <c r="H7" s="4" t="s">
        <v>14</v>
      </c>
      <c r="I7" s="2" t="s">
        <v>15</v>
      </c>
    </row>
    <row r="8" customFormat="false" ht="15" hidden="false" customHeight="false" outlineLevel="0" collapsed="false">
      <c r="A8" s="4" t="s">
        <v>23</v>
      </c>
      <c r="B8" s="5" t="n">
        <v>46275</v>
      </c>
      <c r="C8" s="6" t="s">
        <v>12</v>
      </c>
      <c r="D8" s="2" t="s">
        <v>13</v>
      </c>
      <c r="E8" s="7" t="n">
        <v>33000</v>
      </c>
      <c r="F8" s="7" t="n">
        <f aca="false">ROUNDDOWN(E8*0.1,0)</f>
        <v>3300</v>
      </c>
      <c r="G8" s="7" t="n">
        <f aca="false">E8+F8</f>
        <v>36300</v>
      </c>
      <c r="H8" s="4" t="s">
        <v>14</v>
      </c>
      <c r="I8" s="2" t="s">
        <v>19</v>
      </c>
    </row>
    <row r="9" customFormat="false" ht="15" hidden="false" customHeight="false" outlineLevel="0" collapsed="false">
      <c r="A9" s="4" t="s">
        <v>24</v>
      </c>
      <c r="B9" s="5" t="n">
        <v>46277</v>
      </c>
      <c r="C9" s="6" t="s">
        <v>25</v>
      </c>
      <c r="D9" s="2" t="s">
        <v>26</v>
      </c>
      <c r="E9" s="7" t="n">
        <v>99000</v>
      </c>
      <c r="F9" s="7" t="n">
        <f aca="false">ROUNDDOWN(E9*0.1,0)</f>
        <v>9900</v>
      </c>
      <c r="G9" s="7" t="n">
        <f aca="false">E9+F9</f>
        <v>108900</v>
      </c>
      <c r="H9" s="4" t="s">
        <v>27</v>
      </c>
      <c r="I9" s="2" t="s">
        <v>19</v>
      </c>
    </row>
    <row r="10" customFormat="false" ht="15" hidden="false" customHeight="false" outlineLevel="0" collapsed="false">
      <c r="A10" s="4" t="s">
        <v>28</v>
      </c>
      <c r="B10" s="5" t="n">
        <v>46280</v>
      </c>
      <c r="C10" s="6" t="s">
        <v>17</v>
      </c>
      <c r="D10" s="2" t="s">
        <v>18</v>
      </c>
      <c r="E10" s="7" t="n">
        <v>12500</v>
      </c>
      <c r="F10" s="7" t="n">
        <f aca="false">ROUNDDOWN(E10*0.1,0)</f>
        <v>1250</v>
      </c>
      <c r="G10" s="7" t="n">
        <f aca="false">E10+F10</f>
        <v>13750</v>
      </c>
      <c r="H10" s="4" t="s">
        <v>14</v>
      </c>
      <c r="I10" s="2" t="s">
        <v>29</v>
      </c>
    </row>
    <row r="11" customFormat="false" ht="15" hidden="false" customHeight="false" outlineLevel="0" collapsed="false">
      <c r="A11" s="4" t="s">
        <v>30</v>
      </c>
      <c r="B11" s="5" t="n">
        <v>46285</v>
      </c>
      <c r="C11" s="6" t="s">
        <v>31</v>
      </c>
      <c r="D11" s="2" t="s">
        <v>32</v>
      </c>
      <c r="E11" s="7" t="n">
        <v>55000</v>
      </c>
      <c r="F11" s="7" t="n">
        <f aca="false">ROUNDDOWN(E11*0.1,0)</f>
        <v>5500</v>
      </c>
      <c r="G11" s="7" t="n">
        <f aca="false">E11+F11</f>
        <v>60500</v>
      </c>
      <c r="H11" s="4" t="s">
        <v>14</v>
      </c>
      <c r="I11" s="2" t="s">
        <v>15</v>
      </c>
    </row>
    <row r="12" customFormat="false" ht="15" hidden="false" customHeight="false" outlineLevel="0" collapsed="false">
      <c r="A12" s="4" t="s">
        <v>33</v>
      </c>
      <c r="B12" s="5" t="n">
        <v>46290</v>
      </c>
      <c r="C12" s="6" t="s">
        <v>21</v>
      </c>
      <c r="D12" s="2" t="s">
        <v>22</v>
      </c>
      <c r="E12" s="7" t="n">
        <v>88000</v>
      </c>
      <c r="F12" s="7" t="n">
        <f aca="false">ROUNDDOWN(E12*0.1,0)</f>
        <v>8800</v>
      </c>
      <c r="G12" s="7" t="n">
        <f aca="false">E12+F12</f>
        <v>96800</v>
      </c>
      <c r="H12" s="4" t="s">
        <v>27</v>
      </c>
      <c r="I12" s="2" t="s">
        <v>19</v>
      </c>
    </row>
    <row r="13" customFormat="false" ht="15" hidden="false" customHeight="false" outlineLevel="0" collapsed="false">
      <c r="D13" s="2" t="s">
        <v>34</v>
      </c>
      <c r="E13" s="2" t="n">
        <f aca="false">SUM(E5:E12)</f>
        <v>705500</v>
      </c>
      <c r="F13" s="2" t="n">
        <f aca="false">SUM(F5:F12)</f>
        <v>70550</v>
      </c>
      <c r="G13" s="2" t="n">
        <f aca="false">SUM(G5:G12)</f>
        <v>776050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2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</row>
    <row r="2" customFormat="false" ht="13.8" hidden="false" customHeight="false" outlineLevel="0" collapsed="false">
      <c r="A2" s="0" t="s">
        <v>16</v>
      </c>
      <c r="B2" s="8" t="n">
        <v>46268</v>
      </c>
      <c r="C2" s="9" t="s">
        <v>17</v>
      </c>
      <c r="D2" s="0" t="s">
        <v>18</v>
      </c>
      <c r="E2" s="10" t="n">
        <v>48000</v>
      </c>
      <c r="F2" s="10" t="n">
        <v>4800</v>
      </c>
      <c r="G2" s="10" t="n">
        <v>52800</v>
      </c>
      <c r="H2" s="9" t="s">
        <v>14</v>
      </c>
      <c r="I2" s="0" t="s">
        <v>19</v>
      </c>
    </row>
    <row r="3" customFormat="false" ht="13.8" hidden="false" customHeight="false" outlineLevel="0" collapsed="false">
      <c r="A3" s="0" t="s">
        <v>23</v>
      </c>
      <c r="B3" s="8" t="n">
        <v>46275</v>
      </c>
      <c r="C3" s="9" t="s">
        <v>12</v>
      </c>
      <c r="D3" s="0" t="s">
        <v>13</v>
      </c>
      <c r="E3" s="10" t="n">
        <v>33000</v>
      </c>
      <c r="F3" s="10" t="n">
        <v>3300</v>
      </c>
      <c r="G3" s="10" t="n">
        <v>36300</v>
      </c>
      <c r="H3" s="9" t="s">
        <v>14</v>
      </c>
      <c r="I3" s="0" t="s">
        <v>19</v>
      </c>
    </row>
    <row r="4" customFormat="false" ht="13.8" hidden="false" customHeight="false" outlineLevel="0" collapsed="false">
      <c r="A4" s="0" t="s">
        <v>24</v>
      </c>
      <c r="B4" s="8" t="n">
        <v>46277</v>
      </c>
      <c r="C4" s="9" t="s">
        <v>25</v>
      </c>
      <c r="D4" s="0" t="s">
        <v>26</v>
      </c>
      <c r="E4" s="10" t="n">
        <v>99000</v>
      </c>
      <c r="F4" s="10" t="n">
        <v>9900</v>
      </c>
      <c r="G4" s="10" t="n">
        <v>108900</v>
      </c>
      <c r="H4" s="9" t="s">
        <v>27</v>
      </c>
      <c r="I4" s="0" t="s">
        <v>19</v>
      </c>
    </row>
    <row r="5" customFormat="false" ht="13.8" hidden="false" customHeight="false" outlineLevel="0" collapsed="false">
      <c r="A5" s="0" t="s">
        <v>33</v>
      </c>
      <c r="B5" s="8" t="n">
        <v>46290</v>
      </c>
      <c r="C5" s="9" t="s">
        <v>21</v>
      </c>
      <c r="D5" s="0" t="s">
        <v>22</v>
      </c>
      <c r="E5" s="10" t="n">
        <v>88000</v>
      </c>
      <c r="F5" s="10" t="n">
        <v>8800</v>
      </c>
      <c r="G5" s="10" t="n">
        <v>96800</v>
      </c>
      <c r="H5" s="9" t="s">
        <v>27</v>
      </c>
      <c r="I5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2026-09-30T12:26:13Z</dcterms:created>
  <dc:creator>openpyxl</dc:creator>
  <dc:description/>
  <dc:language>ja-JP</dc:language>
  <cp:lastModifiedBy/>
  <dcterms:modified xsi:type="dcterms:W3CDTF">2026-09-30T21:26:27Z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