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S" sheetId="1" state="visible" r:id="rId3"/>
    <sheet name="_ailine の申し送り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<sst xmlns="http://schemas.openxmlformats.org/spreadsheetml/2006/main" count="30" uniqueCount="29">
  <si>
    <t xml:space="preserve">合計残高試算表（貸借対照表）</t>
  </si>
  <si>
    <r>
      <rPr>
        <sz val="11"/>
        <color theme="1"/>
        <rFont val="Noto Sans JP"/>
        <family val="2"/>
        <charset val="1"/>
      </rPr>
      <t xml:space="preserve">株式会社丸山工業　自 </t>
    </r>
    <r>
      <rPr>
        <sz val="11"/>
        <color theme="1"/>
        <rFont val="Calibri"/>
        <family val="2"/>
        <charset val="1"/>
      </rPr>
      <t xml:space="preserve">2026/09/01 </t>
    </r>
    <r>
      <rPr>
        <sz val="11"/>
        <color theme="1"/>
        <rFont val="Noto Sans JP"/>
        <family val="2"/>
        <charset val="1"/>
      </rPr>
      <t xml:space="preserve">至 </t>
    </r>
    <r>
      <rPr>
        <sz val="11"/>
        <color theme="1"/>
        <rFont val="Calibri"/>
        <family val="2"/>
        <charset val="1"/>
      </rPr>
      <t xml:space="preserve">2026/09/30</t>
    </r>
    <r>
      <rPr>
        <sz val="11"/>
        <color theme="1"/>
        <rFont val="Noto Sans JP"/>
        <family val="2"/>
        <charset val="1"/>
      </rPr>
      <t xml:space="preserve">　（単位：円）</t>
    </r>
  </si>
  <si>
    <t xml:space="preserve">勘定科目</t>
  </si>
  <si>
    <t xml:space="preserve">前月残高</t>
  </si>
  <si>
    <t xml:space="preserve">借方</t>
  </si>
  <si>
    <t xml:space="preserve">貸方</t>
  </si>
  <si>
    <t xml:space="preserve">当月残高</t>
  </si>
  <si>
    <t xml:space="preserve">増減</t>
  </si>
  <si>
    <t xml:space="preserve">【流動資産】</t>
  </si>
  <si>
    <t xml:space="preserve">現金</t>
  </si>
  <si>
    <t xml:space="preserve">普通預金</t>
  </si>
  <si>
    <t xml:space="preserve">売掛金</t>
  </si>
  <si>
    <t xml:space="preserve">流動資産 計</t>
  </si>
  <si>
    <t xml:space="preserve">【固定資産】</t>
  </si>
  <si>
    <t xml:space="preserve">工具器具備品</t>
  </si>
  <si>
    <t xml:space="preserve">固定資産 計</t>
  </si>
  <si>
    <t xml:space="preserve">資産合計</t>
  </si>
  <si>
    <t xml:space="preserve">種類</t>
  </si>
  <si>
    <t xml:space="preserve">対象</t>
  </si>
  <si>
    <t xml:space="preserve">行数</t>
  </si>
  <si>
    <t xml:space="preserve">金額</t>
  </si>
  <si>
    <t xml:space="preserve">なぜこうなったか</t>
  </si>
  <si>
    <t xml:space="preserve">お知らせ</t>
  </si>
  <si>
    <t xml:space="preserve">（新規列の追加は意図どおりです）</t>
  </si>
  <si>
    <t xml:space="preserve">列 F: データ 12 行のうち 10 行を変更（2 行は未変更）</t>
  </si>
  <si>
    <t xml:space="preserve">⚠ 警告</t>
  </si>
  <si>
    <t xml:space="preserve">⚠ 2 行は検算できていません（演算の対象が数値でないため計算結果を確かめられない）</t>
  </si>
  <si>
    <t xml:space="preserve">判定</t>
  </si>
  <si>
    <t xml:space="preserve">△ 試算表_増減.xlsx は検算が合いました（適用後に読み戻して確認: BS: 13行×6列・値のあるセル 54） ── ただし ⚠ 1 件を先に確認してください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</si>
</sst>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7">
    <font>
      <sz val="11"/>
      <color theme="1"/>
      <name val="Noto Sans JP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JP"/>
      <family val="2"/>
      <charset val="1"/>
    </font>
    <font>
      <sz val="11"/>
      <color theme="1"/>
      <name val="Calibri"/>
      <family val="2"/>
      <charset val="1"/>
    </font>
    <font>
      <b val="true"/>
      <sz val="11"/>
      <color theme="1"/>
      <name val="Noto Sans JP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2" t="s">
        <v>8</v>
      </c>
      <c r="B5" s="2"/>
      <c r="C5" s="2"/>
      <c r="D5" s="2"/>
      <c r="E5" s="2"/>
      <c r="F5" s="3" t="n">
        <f aca="false">E5-B5</f>
        <v>0</v>
      </c>
    </row>
    <row r="6" customFormat="false" ht="15" hidden="false" customHeight="false" outlineLevel="0" collapsed="false">
      <c r="A6" s="3" t="s">
        <v>9</v>
      </c>
      <c r="B6" s="4" t="n">
        <v>120000</v>
      </c>
      <c r="C6" s="4" t="n">
        <v>50000</v>
      </c>
      <c r="D6" s="4" t="n">
        <v>43000</v>
      </c>
      <c r="E6" s="4" t="n">
        <v>127000</v>
      </c>
      <c r="F6" s="3" t="n">
        <f aca="false">E6-B6</f>
        <v>7000</v>
      </c>
    </row>
    <row r="7" customFormat="false" ht="15" hidden="false" customHeight="false" outlineLevel="0" collapsed="false">
      <c r="A7" s="3" t="s">
        <v>10</v>
      </c>
      <c r="B7" s="4" t="n">
        <v>3450000</v>
      </c>
      <c r="C7" s="4" t="n">
        <v>980000</v>
      </c>
      <c r="D7" s="4" t="n">
        <v>1210000</v>
      </c>
      <c r="E7" s="4" t="n">
        <v>3220000</v>
      </c>
      <c r="F7" s="3" t="n">
        <f aca="false">E7-B7</f>
        <v>-230000</v>
      </c>
    </row>
    <row r="8" customFormat="false" ht="15" hidden="false" customHeight="false" outlineLevel="0" collapsed="false">
      <c r="A8" s="3" t="s">
        <v>11</v>
      </c>
      <c r="B8" s="4" t="n">
        <v>1650000</v>
      </c>
      <c r="C8" s="4" t="n">
        <v>776050</v>
      </c>
      <c r="D8" s="4" t="n">
        <v>467500</v>
      </c>
      <c r="E8" s="4" t="n">
        <v>1958550</v>
      </c>
      <c r="F8" s="3" t="n">
        <f aca="false">E8-B8</f>
        <v>308550</v>
      </c>
    </row>
    <row r="9" customFormat="false" ht="15" hidden="false" customHeight="false" outlineLevel="0" collapsed="false">
      <c r="A9" s="3" t="s">
        <v>12</v>
      </c>
      <c r="B9" s="4" t="n">
        <f aca="false">SUM(B6:B8)</f>
        <v>5220000</v>
      </c>
      <c r="C9" s="4" t="n">
        <f aca="false">SUM(C6:C8)</f>
        <v>1806050</v>
      </c>
      <c r="D9" s="4" t="n">
        <f aca="false">SUM(D6:D8)</f>
        <v>1720500</v>
      </c>
      <c r="E9" s="4" t="n">
        <f aca="false">SUM(E6:E8)</f>
        <v>5305550</v>
      </c>
      <c r="F9" s="3" t="n">
        <f aca="false">E9-B9</f>
        <v>85550</v>
      </c>
    </row>
    <row r="10" customFormat="false" ht="15" hidden="false" customHeight="false" outlineLevel="0" collapsed="false">
      <c r="A10" s="2" t="s">
        <v>13</v>
      </c>
      <c r="B10" s="2"/>
      <c r="C10" s="2"/>
      <c r="D10" s="2"/>
      <c r="E10" s="2"/>
      <c r="F10" s="3" t="n">
        <f aca="false">E10-B10</f>
        <v>0</v>
      </c>
    </row>
    <row r="11" customFormat="false" ht="15" hidden="false" customHeight="false" outlineLevel="0" collapsed="false">
      <c r="A11" s="3" t="s">
        <v>14</v>
      </c>
      <c r="B11" s="4" t="n">
        <v>480000</v>
      </c>
      <c r="C11" s="4" t="n">
        <v>0</v>
      </c>
      <c r="D11" s="4" t="n">
        <v>0</v>
      </c>
      <c r="E11" s="4" t="n">
        <v>480000</v>
      </c>
      <c r="F11" s="3" t="n">
        <f aca="false">E11-B11</f>
        <v>0</v>
      </c>
    </row>
    <row r="12" customFormat="false" ht="15" hidden="false" customHeight="false" outlineLevel="0" collapsed="false">
      <c r="A12" s="3" t="s">
        <v>15</v>
      </c>
      <c r="B12" s="4" t="n">
        <f aca="false">B11</f>
        <v>480000</v>
      </c>
      <c r="C12" s="4" t="n">
        <f aca="false">C11</f>
        <v>0</v>
      </c>
      <c r="D12" s="4" t="n">
        <f aca="false">D11</f>
        <v>0</v>
      </c>
      <c r="E12" s="4" t="n">
        <f aca="false">E11</f>
        <v>480000</v>
      </c>
      <c r="F12" s="3" t="n">
        <f aca="false">E12-B12</f>
        <v>0</v>
      </c>
    </row>
    <row r="13" customFormat="false" ht="15" hidden="false" customHeight="false" outlineLevel="0" collapsed="false">
      <c r="A13" s="3" t="s">
        <v>16</v>
      </c>
      <c r="B13" s="4" t="n">
        <f aca="false">B9+B12</f>
        <v>5700000</v>
      </c>
      <c r="C13" s="4" t="n">
        <f aca="false">C9+C12</f>
        <v>1806050</v>
      </c>
      <c r="D13" s="4" t="n">
        <f aca="false">D9+D12</f>
        <v>1720500</v>
      </c>
      <c r="E13" s="4" t="n">
        <f aca="false">E9+E12</f>
        <v>5785550</v>
      </c>
      <c r="F13" s="3" t="n">
        <f aca="false">E13-B13</f>
        <v>85550</v>
      </c>
    </row>
  </sheetData>
  <mergeCells count="4">
    <mergeCell ref="A1:E1"/>
    <mergeCell ref="A2:E2"/>
    <mergeCell ref="A5:E5"/>
    <mergeCell ref="A10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921875" defaultRowHeight="12.8" customHeight="false" zeroHeight="false" outlineLevelRow="0" outlineLevelCol="0"/>
  <cols>
    <col collapsed="false" customWidth="true" hidden="false" outlineLevel="0" max="1" min="1" style="0" width="9.02"/>
    <col collapsed="false" customWidth="true" hidden="false" outlineLevel="0" max="4" min="2" style="0" width="5.23"/>
    <col collapsed="false" customWidth="true" hidden="false" outlineLevel="0" max="5" min="5" style="0" width="126.75"/>
  </cols>
  <sheetData>
    <row r="1" customFormat="false" ht="13.8" hidden="false" customHeight="false" outlineLevel="0" collapsed="false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</row>
    <row r="2" customFormat="false" ht="12.8" hidden="false" customHeight="false" outlineLevel="0" collapsed="false">
      <c r="A2" s="0" t="s">
        <v>22</v>
      </c>
      <c r="E2" s="0" t="s">
        <v>23</v>
      </c>
    </row>
    <row r="3" customFormat="false" ht="12.8" hidden="false" customHeight="false" outlineLevel="0" collapsed="false">
      <c r="A3" s="0" t="s">
        <v>22</v>
      </c>
      <c r="E3" s="0" t="s">
        <v>24</v>
      </c>
    </row>
    <row r="4" customFormat="false" ht="12.8" hidden="false" customHeight="false" outlineLevel="0" collapsed="false">
      <c r="A4" s="0" t="s">
        <v>25</v>
      </c>
      <c r="E4" s="0" t="s">
        <v>26</v>
      </c>
    </row>
    <row r="5" customFormat="false" ht="12.8" hidden="false" customHeight="false" outlineLevel="0" collapsed="false">
      <c r="A5" s="0" t="s">
        <v>27</v>
      </c>
      <c r="E5" s="0" t="s">
        <v>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Roman"&amp;12&amp;Kffffff&amp;A</oddHeader>
    <oddFooter>&amp;C&amp;"Times New Roman"&amp;12&amp;Kffffffページ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2026-09-30T12:33:12Z</dcterms:created>
  <dc:creator>openpyxl</dc:creator>
  <dc:description/>
  <dc:language>ja-JP</dc:language>
  <cp:lastModifiedBy/>
  <dcterms:modified xsi:type="dcterms:W3CDTF">2026-09-30T21:33:28Z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