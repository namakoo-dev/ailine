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求" sheetId="1" state="visible" r:id="rId3"/>
    <sheet name="発注" sheetId="2" state="visible" r:id="rId4"/>
    <sheet name="商品名・発注金額だけ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<sst xmlns="http://schemas.openxmlformats.org/spreadsheetml/2006/main" count="51" uniqueCount="32">
  <si>
    <t xml:space="preserve">請求番号</t>
  </si>
  <si>
    <t xml:space="preserve">仕入先</t>
  </si>
  <si>
    <t xml:space="preserve">商品名</t>
  </si>
  <si>
    <t xml:space="preserve">請求金額</t>
  </si>
  <si>
    <t xml:space="preserve">発注金額</t>
  </si>
  <si>
    <t xml:space="preserve">差額</t>
  </si>
  <si>
    <t xml:space="preserve">確認</t>
  </si>
  <si>
    <t xml:space="preserve">S-1201</t>
  </si>
  <si>
    <t xml:space="preserve">サンライズ商事</t>
  </si>
  <si>
    <t xml:space="preserve">アロマキャンドル ラベンダー</t>
  </si>
  <si>
    <t xml:space="preserve">M-0908</t>
  </si>
  <si>
    <t xml:space="preserve">みどり雑貨</t>
  </si>
  <si>
    <r>
      <rPr>
        <sz val="11"/>
        <color theme="1"/>
        <rFont val="Noto Sans JP"/>
        <family val="2"/>
        <charset val="1"/>
      </rPr>
      <t xml:space="preserve">木製コースター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JP"/>
        <family val="2"/>
        <charset val="1"/>
      </rPr>
      <t xml:space="preserve">枚組</t>
    </r>
  </si>
  <si>
    <t xml:space="preserve">K-7742</t>
  </si>
  <si>
    <t xml:space="preserve">北陸メタル</t>
  </si>
  <si>
    <r>
      <rPr>
        <sz val="11"/>
        <color theme="1"/>
        <rFont val="Noto Sans JP"/>
        <family val="2"/>
        <charset val="1"/>
      </rPr>
      <t xml:space="preserve">ステンレスタンブラー </t>
    </r>
    <r>
      <rPr>
        <sz val="11"/>
        <color theme="1"/>
        <rFont val="Calibri"/>
        <family val="2"/>
        <charset val="1"/>
      </rPr>
      <t xml:space="preserve">350ml</t>
    </r>
  </si>
  <si>
    <t xml:space="preserve">◎</t>
  </si>
  <si>
    <t xml:space="preserve">S-1202</t>
  </si>
  <si>
    <r>
      <rPr>
        <sz val="11"/>
        <color theme="1"/>
        <rFont val="Noto Sans JP"/>
        <family val="2"/>
        <charset val="1"/>
      </rPr>
      <t xml:space="preserve">キャンバストート </t>
    </r>
    <r>
      <rPr>
        <sz val="11"/>
        <color theme="1"/>
        <rFont val="Calibri"/>
        <family val="2"/>
        <charset val="1"/>
      </rPr>
      <t xml:space="preserve">M</t>
    </r>
  </si>
  <si>
    <t xml:space="preserve">K-7743</t>
  </si>
  <si>
    <t xml:space="preserve">陶器マグ 藍</t>
  </si>
  <si>
    <t xml:space="preserve">発注番号</t>
  </si>
  <si>
    <t xml:space="preserve">数量</t>
  </si>
  <si>
    <t xml:space="preserve">単価</t>
  </si>
  <si>
    <t xml:space="preserve">H-2609-01</t>
  </si>
  <si>
    <t xml:space="preserve">H-2609-02</t>
  </si>
  <si>
    <t xml:space="preserve">H-2609-03</t>
  </si>
  <si>
    <t xml:space="preserve">H-2609-04</t>
  </si>
  <si>
    <t xml:space="preserve">H-2609-05</t>
  </si>
  <si>
    <t xml:space="preserve">木製コースター 4枚組</t>
  </si>
  <si>
    <t xml:space="preserve">ステンレスタンブラー 350ml</t>
  </si>
  <si>
    <t xml:space="preserve">キャンバストート 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</si>
</sst>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1" t="s">
        <v>8</v>
      </c>
      <c r="C2" s="1" t="s">
        <v>9</v>
      </c>
      <c r="D2" s="1" t="n">
        <v>24000</v>
      </c>
      <c r="E2" s="1" t="n">
        <v>24000</v>
      </c>
      <c r="F2" s="1" t="n">
        <f aca="false">D2-E2</f>
        <v>0</v>
      </c>
      <c r="G2" s="1"/>
    </row>
    <row r="3" customFormat="false" ht="15" hidden="false" customHeight="false" outlineLevel="0" collapsed="false">
      <c r="A3" s="2" t="s">
        <v>10</v>
      </c>
      <c r="B3" s="1" t="s">
        <v>11</v>
      </c>
      <c r="C3" s="1" t="s">
        <v>12</v>
      </c>
      <c r="D3" s="1" t="n">
        <v>12800</v>
      </c>
      <c r="E3" s="1" t="n">
        <v>12800</v>
      </c>
      <c r="F3" s="1" t="n">
        <f aca="false">D3-E3</f>
        <v>0</v>
      </c>
      <c r="G3" s="1"/>
    </row>
    <row r="4" customFormat="false" ht="15" hidden="false" customHeight="false" outlineLevel="0" collapsed="false">
      <c r="A4" s="2" t="s">
        <v>13</v>
      </c>
      <c r="B4" s="1" t="s">
        <v>14</v>
      </c>
      <c r="C4" s="1" t="s">
        <v>15</v>
      </c>
      <c r="D4" s="1" t="n">
        <v>28700</v>
      </c>
      <c r="E4" s="1" t="n">
        <v>26700</v>
      </c>
      <c r="F4" s="1" t="n">
        <f aca="false">D4-E4</f>
        <v>2000</v>
      </c>
      <c r="G4" s="1" t="s">
        <v>16</v>
      </c>
    </row>
    <row r="5" customFormat="false" ht="15" hidden="false" customHeight="false" outlineLevel="0" collapsed="false">
      <c r="A5" s="2" t="s">
        <v>17</v>
      </c>
      <c r="B5" s="1" t="s">
        <v>8</v>
      </c>
      <c r="C5" s="1" t="s">
        <v>18</v>
      </c>
      <c r="D5" s="1" t="n">
        <v>14400</v>
      </c>
      <c r="E5" s="1" t="n">
        <v>14400</v>
      </c>
      <c r="F5" s="1" t="n">
        <f aca="false">D5-E5</f>
        <v>0</v>
      </c>
      <c r="G5" s="1"/>
    </row>
    <row r="6" customFormat="false" ht="15" hidden="false" customHeight="false" outlineLevel="0" collapsed="false">
      <c r="A6" s="2" t="s">
        <v>19</v>
      </c>
      <c r="B6" s="1" t="s">
        <v>14</v>
      </c>
      <c r="C6" s="1" t="s">
        <v>20</v>
      </c>
      <c r="D6" s="1" t="n">
        <v>13500</v>
      </c>
      <c r="E6" s="1" t="n">
        <v>13500</v>
      </c>
      <c r="F6" s="1" t="n">
        <f aca="false">D6-E6</f>
        <v>0</v>
      </c>
      <c r="G6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21</v>
      </c>
      <c r="B1" s="1" t="s">
        <v>1</v>
      </c>
      <c r="C1" s="1" t="s">
        <v>2</v>
      </c>
      <c r="D1" s="1" t="s">
        <v>22</v>
      </c>
      <c r="E1" s="1" t="s">
        <v>23</v>
      </c>
      <c r="F1" s="1" t="s">
        <v>4</v>
      </c>
    </row>
    <row r="2" customFormat="false" ht="15" hidden="false" customHeight="false" outlineLevel="0" collapsed="false">
      <c r="A2" s="2" t="s">
        <v>24</v>
      </c>
      <c r="B2" s="1" t="s">
        <v>8</v>
      </c>
      <c r="C2" s="1" t="s">
        <v>9</v>
      </c>
      <c r="D2" s="1" t="n">
        <v>50</v>
      </c>
      <c r="E2" s="1" t="n">
        <v>480</v>
      </c>
      <c r="F2" s="1" t="n">
        <v>24000</v>
      </c>
    </row>
    <row r="3" customFormat="false" ht="15" hidden="false" customHeight="false" outlineLevel="0" collapsed="false">
      <c r="A3" s="2" t="s">
        <v>25</v>
      </c>
      <c r="B3" s="1" t="s">
        <v>11</v>
      </c>
      <c r="C3" s="1" t="s">
        <v>12</v>
      </c>
      <c r="D3" s="1" t="n">
        <v>40</v>
      </c>
      <c r="E3" s="1" t="n">
        <v>320</v>
      </c>
      <c r="F3" s="1" t="n">
        <v>12800</v>
      </c>
    </row>
    <row r="4" customFormat="false" ht="15" hidden="false" customHeight="false" outlineLevel="0" collapsed="false">
      <c r="A4" s="2" t="s">
        <v>26</v>
      </c>
      <c r="B4" s="1" t="s">
        <v>14</v>
      </c>
      <c r="C4" s="1" t="s">
        <v>15</v>
      </c>
      <c r="D4" s="1" t="n">
        <v>30</v>
      </c>
      <c r="E4" s="1" t="n">
        <v>890</v>
      </c>
      <c r="F4" s="1" t="n">
        <v>26700</v>
      </c>
    </row>
    <row r="5" customFormat="false" ht="15" hidden="false" customHeight="false" outlineLevel="0" collapsed="false">
      <c r="A5" s="2" t="s">
        <v>27</v>
      </c>
      <c r="B5" s="1" t="s">
        <v>8</v>
      </c>
      <c r="C5" s="1" t="s">
        <v>18</v>
      </c>
      <c r="D5" s="1" t="n">
        <v>20</v>
      </c>
      <c r="E5" s="1" t="n">
        <v>720</v>
      </c>
      <c r="F5" s="1" t="n">
        <v>14400</v>
      </c>
    </row>
    <row r="6" customFormat="false" ht="15" hidden="false" customHeight="false" outlineLevel="0" collapsed="false">
      <c r="A6" s="2" t="s">
        <v>28</v>
      </c>
      <c r="B6" s="1" t="s">
        <v>14</v>
      </c>
      <c r="C6" s="1" t="s">
        <v>20</v>
      </c>
      <c r="D6" s="1" t="n">
        <v>25</v>
      </c>
      <c r="E6" s="1" t="n">
        <v>540</v>
      </c>
      <c r="F6" s="1" t="n">
        <v>13500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2</v>
      </c>
      <c r="B1" s="1" t="s">
        <v>4</v>
      </c>
    </row>
    <row r="2" customFormat="false" ht="13.8" hidden="false" customHeight="false" outlineLevel="0" collapsed="false">
      <c r="A2" s="1" t="s">
        <v>9</v>
      </c>
      <c r="B2" s="1" t="n">
        <v>24000</v>
      </c>
    </row>
    <row r="3" customFormat="false" ht="14.9" hidden="false" customHeight="false" outlineLevel="0" collapsed="false">
      <c r="A3" s="1" t="s">
        <v>29</v>
      </c>
      <c r="B3" s="1" t="n">
        <v>12800</v>
      </c>
    </row>
    <row r="4" customFormat="false" ht="14.9" hidden="false" customHeight="false" outlineLevel="0" collapsed="false">
      <c r="A4" s="1" t="s">
        <v>30</v>
      </c>
      <c r="B4" s="1" t="n">
        <v>26700</v>
      </c>
    </row>
    <row r="5" customFormat="false" ht="14.9" hidden="false" customHeight="false" outlineLevel="0" collapsed="false">
      <c r="A5" s="1" t="s">
        <v>31</v>
      </c>
      <c r="B5" s="1" t="n">
        <v>14400</v>
      </c>
    </row>
    <row r="6" customFormat="false" ht="13.8" hidden="false" customHeight="false" outlineLevel="0" collapsed="false">
      <c r="A6" s="1" t="s">
        <v>20</v>
      </c>
      <c r="B6" s="1" t="n">
        <v>13500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2026-09-20T09:52:26Z</dcterms:created>
  <dc:creator>openpyxl</dc:creator>
  <dc:description/>
  <dc:language>ja-JP</dc:language>
  <cp:lastModifiedBy/>
  <dcterms:modified xsi:type="dcterms:W3CDTF">2026-09-20T18:55:08Z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